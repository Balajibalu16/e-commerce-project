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9.xml" ContentType="application/vnd.openxmlformats-officedocument.drawingml.chart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10.xml" ContentType="application/vnd.openxmlformats-officedocument.drawingml.chart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charts/chart11.xml" ContentType="application/vnd.openxmlformats-officedocument.drawingml.chart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charts/chart13.xml" ContentType="application/vnd.openxmlformats-officedocument.drawingml.chart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d30a786a163b25aa/Documents/DATA ANALYSIS TASKS AND PROJECTS/"/>
    </mc:Choice>
  </mc:AlternateContent>
  <xr:revisionPtr revIDLastSave="1" documentId="11_7F6F583EE0F3C31797C01469A64DBA0AB7E619A1" xr6:coauthVersionLast="47" xr6:coauthVersionMax="47" xr10:uidLastSave="{52436A25-0416-4677-AD6E-351CF03A715D}"/>
  <bookViews>
    <workbookView xWindow="-110" yWindow="-110" windowWidth="19420" windowHeight="10300" xr2:uid="{00000000-000D-0000-FFFF-FFFF00000000}"/>
  </bookViews>
  <sheets>
    <sheet name="Dashboard" sheetId="1" r:id="rId1"/>
    <sheet name="KPIs" sheetId="2" r:id="rId2"/>
    <sheet name="Monthly_Sales" sheetId="3" r:id="rId3"/>
    <sheet name="Category_Analysis" sheetId="4" r:id="rId4"/>
    <sheet name="State_Analysis" sheetId="5" r:id="rId5"/>
    <sheet name="Product_Analysis" sheetId="6" r:id="rId6"/>
    <sheet name="Payment_Mode" sheetId="7" r:id="rId7"/>
    <sheet name="Customer_Segmentation" sheetId="8" r:id="rId8"/>
    <sheet name="DAX_Measures" sheetId="9" r:id="rId9"/>
    <sheet name="PowerBI_ReadMe" sheetId="10" r:id="rId10"/>
  </sheets>
  <calcPr calcId="0"/>
</workbook>
</file>

<file path=xl/sharedStrings.xml><?xml version="1.0" encoding="utf-8"?>
<sst xmlns="http://schemas.openxmlformats.org/spreadsheetml/2006/main" count="336" uniqueCount="195">
  <si>
    <t>E-COMMERCE SALES &amp; CUSTOMER ANALYTICS — POWER BI MASTER DASHBOARD</t>
  </si>
  <si>
    <t>Month</t>
  </si>
  <si>
    <t>Sales</t>
  </si>
  <si>
    <t>Category</t>
  </si>
  <si>
    <t>Profit</t>
  </si>
  <si>
    <t>Jan</t>
  </si>
  <si>
    <t>Home</t>
  </si>
  <si>
    <t>Total Sales</t>
  </si>
  <si>
    <t>Total Profit</t>
  </si>
  <si>
    <t>Total Orders</t>
  </si>
  <si>
    <t>Customers</t>
  </si>
  <si>
    <t>AOV</t>
  </si>
  <si>
    <t>Profit Margin</t>
  </si>
  <si>
    <t>Repeat Purchase</t>
  </si>
  <si>
    <t>Feb</t>
  </si>
  <si>
    <t>Beauty</t>
  </si>
  <si>
    <t>₹53.88 L</t>
  </si>
  <si>
    <t>₹12.45 L</t>
  </si>
  <si>
    <t>100</t>
  </si>
  <si>
    <t>28</t>
  </si>
  <si>
    <t>₹53,881.50</t>
  </si>
  <si>
    <t>23.11%</t>
  </si>
  <si>
    <t>92.86%</t>
  </si>
  <si>
    <t>Mar</t>
  </si>
  <si>
    <t>Electronics</t>
  </si>
  <si>
    <t>Apr</t>
  </si>
  <si>
    <t>Clothing</t>
  </si>
  <si>
    <t>May</t>
  </si>
  <si>
    <t>Monthly Sales Trend</t>
  </si>
  <si>
    <t>Sales by Category</t>
  </si>
  <si>
    <t>Profit by Category</t>
  </si>
  <si>
    <t>Jun</t>
  </si>
  <si>
    <t>Jul</t>
  </si>
  <si>
    <t>Aug</t>
  </si>
  <si>
    <t>Sep</t>
  </si>
  <si>
    <t>Oct</t>
  </si>
  <si>
    <t>Product</t>
  </si>
  <si>
    <t>State</t>
  </si>
  <si>
    <t>Payment</t>
  </si>
  <si>
    <t>Jeans</t>
  </si>
  <si>
    <t>Delhi</t>
  </si>
  <si>
    <t>Credit Card</t>
  </si>
  <si>
    <t>Running Shoes</t>
  </si>
  <si>
    <t>Andhra Pradesh</t>
  </si>
  <si>
    <t>Cash on Delivery</t>
  </si>
  <si>
    <t>T-Shirt</t>
  </si>
  <si>
    <t>Telangana</t>
  </si>
  <si>
    <t>UPI</t>
  </si>
  <si>
    <t>Chair</t>
  </si>
  <si>
    <t>Karnataka</t>
  </si>
  <si>
    <t>Debit Card</t>
  </si>
  <si>
    <t>Laptop</t>
  </si>
  <si>
    <t>Maharashtra</t>
  </si>
  <si>
    <t>Mixer</t>
  </si>
  <si>
    <t>Tamil Nadu</t>
  </si>
  <si>
    <t>Smartphone</t>
  </si>
  <si>
    <t>Smart Watch</t>
  </si>
  <si>
    <t>Top 10 Products</t>
  </si>
  <si>
    <t>Sales by State</t>
  </si>
  <si>
    <t>Headphones</t>
  </si>
  <si>
    <t>Face Wash</t>
  </si>
  <si>
    <t>Segment</t>
  </si>
  <si>
    <t>Loyal Customers</t>
  </si>
  <si>
    <t>At Risk</t>
  </si>
  <si>
    <t>Champions</t>
  </si>
  <si>
    <t>Potential Loyalists</t>
  </si>
  <si>
    <t>Dormant</t>
  </si>
  <si>
    <t>Payment Mode Mix</t>
  </si>
  <si>
    <t>Customer Segmentation</t>
  </si>
  <si>
    <t>Executive Insights</t>
  </si>
  <si>
    <t>Insight</t>
  </si>
  <si>
    <t>Finding</t>
  </si>
  <si>
    <t>Top Category</t>
  </si>
  <si>
    <t>EXECUTIVE INSIGHTS</t>
  </si>
  <si>
    <t>Top Product</t>
  </si>
  <si>
    <t>Top State</t>
  </si>
  <si>
    <t>Best Month</t>
  </si>
  <si>
    <t>July</t>
  </si>
  <si>
    <t>Lowest Month</t>
  </si>
  <si>
    <t>August</t>
  </si>
  <si>
    <t>Largest Segment</t>
  </si>
  <si>
    <t>Watch Month</t>
  </si>
  <si>
    <t>POWER BI BUILD PLAN</t>
  </si>
  <si>
    <t>Page</t>
  </si>
  <si>
    <t>Visual</t>
  </si>
  <si>
    <t>Axis/Field</t>
  </si>
  <si>
    <t>Value/Measure</t>
  </si>
  <si>
    <t>Slicer</t>
  </si>
  <si>
    <t>Purpose</t>
  </si>
  <si>
    <t>Source</t>
  </si>
  <si>
    <t>Overview</t>
  </si>
  <si>
    <t>KPI cards</t>
  </si>
  <si>
    <t>—</t>
  </si>
  <si>
    <t>Total Sales, Profit, Orders, Customers, AOV, Margin, Repeat Rate</t>
  </si>
  <si>
    <t>Year / State / Category</t>
  </si>
  <si>
    <t>Executive scorecard</t>
  </si>
  <si>
    <t>KPIs</t>
  </si>
  <si>
    <t>Line chart</t>
  </si>
  <si>
    <t>Year</t>
  </si>
  <si>
    <t>Trend</t>
  </si>
  <si>
    <t>Monthly_Sales</t>
  </si>
  <si>
    <t>Column chart</t>
  </si>
  <si>
    <t>Category performance</t>
  </si>
  <si>
    <t>Category_Analysis</t>
  </si>
  <si>
    <t>Profit comparison</t>
  </si>
  <si>
    <t>Bar chart</t>
  </si>
  <si>
    <t>Top products</t>
  </si>
  <si>
    <t>Product_Analysis</t>
  </si>
  <si>
    <t>E-Commerce KPI Summary</t>
  </si>
  <si>
    <t>KPI</t>
  </si>
  <si>
    <t>Value</t>
  </si>
  <si>
    <t>Format</t>
  </si>
  <si>
    <t>Currency</t>
  </si>
  <si>
    <t>Integer</t>
  </si>
  <si>
    <t>Total Customers</t>
  </si>
  <si>
    <t>Total Products</t>
  </si>
  <si>
    <t>Average Order Value</t>
  </si>
  <si>
    <t>Percentage</t>
  </si>
  <si>
    <t>Repeat Purchase Rate</t>
  </si>
  <si>
    <t>Monthly Sales Analysis</t>
  </si>
  <si>
    <t>Category Sales &amp; Profit Analysis</t>
  </si>
  <si>
    <t>Share of Sales %</t>
  </si>
  <si>
    <t>State Sales Analysis</t>
  </si>
  <si>
    <t>Top 10 Products by Sales</t>
  </si>
  <si>
    <t>Rank</t>
  </si>
  <si>
    <t>Sales by Payment Mode</t>
  </si>
  <si>
    <t>Payment Mode</t>
  </si>
  <si>
    <t>Share %</t>
  </si>
  <si>
    <t>POWER BI DAX MEASURES</t>
  </si>
  <si>
    <t>Measure</t>
  </si>
  <si>
    <t>DAX Formula</t>
  </si>
  <si>
    <t>SUM('Sales'[Net_Sales])</t>
  </si>
  <si>
    <t>Total net sales</t>
  </si>
  <si>
    <t>SUM('Sales'[Profit])</t>
  </si>
  <si>
    <t>Total profit</t>
  </si>
  <si>
    <t>DISTINCTCOUNT('Sales'[Order_ID])</t>
  </si>
  <si>
    <t>Whole number</t>
  </si>
  <si>
    <t>Unique orders</t>
  </si>
  <si>
    <t>DISTINCTCOUNT('Sales'[Customer_ID])</t>
  </si>
  <si>
    <t>Unique customers</t>
  </si>
  <si>
    <t>DISTINCTCOUNT('Sales'[Product])</t>
  </si>
  <si>
    <t>Unique products</t>
  </si>
  <si>
    <t>DIVIDE([Total Sales],[Total Orders],0)</t>
  </si>
  <si>
    <t>Sales per order</t>
  </si>
  <si>
    <t>DIVIDE([Total Profit],[Total Sales],0)</t>
  </si>
  <si>
    <t>Profit / sales</t>
  </si>
  <si>
    <t>DIVIDE(CALCULATE(DISTINCTCOUNT('Sales'[Customer_ID]),FILTER(VALUES('Sales'[Customer_ID]),CALCULATE(DISTINCTCOUNT('Sales'[Order_ID]))&gt;1)),[Total Customers],0)</t>
  </si>
  <si>
    <t>Returning customers %</t>
  </si>
  <si>
    <t>POWER BI IMPORT GUIDE</t>
  </si>
  <si>
    <t>Step</t>
  </si>
  <si>
    <t>Action</t>
  </si>
  <si>
    <t>Details</t>
  </si>
  <si>
    <t>Recommended Visual</t>
  </si>
  <si>
    <t>Notes</t>
  </si>
  <si>
    <t>1</t>
  </si>
  <si>
    <t>Import</t>
  </si>
  <si>
    <t>Power BI Desktop → Get Data → Excel → select this workbook</t>
  </si>
  <si>
    <t>All sheets</t>
  </si>
  <si>
    <t>Import the analysis tables.</t>
  </si>
  <si>
    <t>2</t>
  </si>
  <si>
    <t>Create measures from DAX_Measures</t>
  </si>
  <si>
    <t>Cards</t>
  </si>
  <si>
    <t>DAX_Measures</t>
  </si>
  <si>
    <t>Use the seven measures for the top scorecard.</t>
  </si>
  <si>
    <t>3</t>
  </si>
  <si>
    <t>Month → X-axis; Total Sales → Y-axis</t>
  </si>
  <si>
    <t>Sort Jan to Oct.</t>
  </si>
  <si>
    <t>4</t>
  </si>
  <si>
    <t>Category → Axis; Sales/Profit → Values</t>
  </si>
  <si>
    <t>Use separate Sales and Profit visuals.</t>
  </si>
  <si>
    <t>5</t>
  </si>
  <si>
    <t>Products</t>
  </si>
  <si>
    <t>Product → Axis; Sales → Values</t>
  </si>
  <si>
    <t>Sort descending.</t>
  </si>
  <si>
    <t>6</t>
  </si>
  <si>
    <t>States</t>
  </si>
  <si>
    <t>State → Axis; Sales → Values</t>
  </si>
  <si>
    <t>Bar / Map</t>
  </si>
  <si>
    <t>State_Analysis</t>
  </si>
  <si>
    <t>A map can be used when appropriate.</t>
  </si>
  <si>
    <t>7</t>
  </si>
  <si>
    <t>Payments</t>
  </si>
  <si>
    <t>Payment Mode → Legend; Sales → Values</t>
  </si>
  <si>
    <t>Donut chart</t>
  </si>
  <si>
    <t>Payment_Mode</t>
  </si>
  <si>
    <t>Shows payment mix.</t>
  </si>
  <si>
    <t>8</t>
  </si>
  <si>
    <t>Segment → Axis; Customers → Values</t>
  </si>
  <si>
    <t>Customer_Segmentation</t>
  </si>
  <si>
    <t>At Risk is the largest segment.</t>
  </si>
  <si>
    <t>9</t>
  </si>
  <si>
    <t>Slicers</t>
  </si>
  <si>
    <t>Year / State / Category / Payment Mode</t>
  </si>
  <si>
    <t>Original fact table</t>
  </si>
  <si>
    <t>For fully interactive filtering, use the original raw CSV too.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</si>
</sst>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16"/>
      <color rgb="FFFFFFFF"/>
      <name val="Carlito"/>
    </font>
    <font>
      <b/>
      <sz val="11"/>
      <color rgb="FF17365D"/>
      <name val="Carlito"/>
    </font>
    <font>
      <b/>
      <sz val="14"/>
      <color rgb="FF1F4E78"/>
      <name val="Carlito"/>
    </font>
    <font>
      <b/>
      <sz val="11"/>
      <color rgb="FFFFFFFF"/>
      <name val="Carlito"/>
    </font>
    <font>
      <b/>
      <sz val="11"/>
      <name val="Carlito"/>
    </font>
    <font>
      <sz val="11"/>
      <color rgb="FFFFFFFF"/>
      <name val="Carlito"/>
    </font>
    <font>
      <b/>
      <sz val="12"/>
      <color rgb="FFFFFFFF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7FBFE"/>
      </patternFill>
    </fill>
    <fill>
      <patternFill patternType="solid">
        <fgColor rgb="FF1F4E78"/>
      </patternFill>
    </fill>
    <fill>
      <patternFill patternType="solid">
        <fgColor rgb="FFFFFFFF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5" borderId="0" xfId="0" applyFont="1" applyFill="1" applyAlignment="1">
      <alignment horizontal="center" vertical="center" wrapText="1"/>
    </xf>
    <xf numFmtId="0" fontId="5" fillId="0" borderId="0" xfId="0" applyFont="1"/>
    <xf numFmtId="0" fontId="0" fillId="0" borderId="0" xfId="0" applyAlignment="1">
      <alignment wrapText="1"/>
    </xf>
    <xf numFmtId="4" fontId="0" fillId="0" borderId="0" xfId="0" applyNumberFormat="1"/>
    <xf numFmtId="2" fontId="0" fillId="0" borderId="0" xfId="0" applyNumberFormat="1"/>
    <xf numFmtId="0" fontId="6" fillId="6" borderId="0" xfId="0" applyFont="1" applyFill="1"/>
    <xf numFmtId="0" fontId="7" fillId="7" borderId="0" xfId="0" applyFont="1" applyFill="1" applyAlignment="1">
      <alignment horizontal="center" vertical="center" wrapText="1"/>
    </xf>
    <xf numFmtId="0" fontId="5" fillId="0" borderId="0" xfId="0" applyFont="1" applyAlignment="1">
      <alignment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Monthly Sales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Sales</c:v>
          </c:tx>
          <c:marker>
            <c:symbol val="none"/>
          </c:marker>
          <c:cat>
            <c:strRef>
              <c:f>Dashboard!$AA$3:$AA$12</c:f>
              <c:strCache>
                <c:ptCount val="10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</c:strCache>
            </c:strRef>
          </c:cat>
          <c:val>
            <c:numRef>
              <c:f>Dashboard!$AB$3:$AB$12</c:f>
              <c:numCache>
                <c:formatCode>General</c:formatCode>
                <c:ptCount val="10"/>
                <c:pt idx="0">
                  <c:v>503257.85</c:v>
                </c:pt>
                <c:pt idx="1">
                  <c:v>588009.80000000005</c:v>
                </c:pt>
                <c:pt idx="2">
                  <c:v>486745.45</c:v>
                </c:pt>
                <c:pt idx="3">
                  <c:v>498237</c:v>
                </c:pt>
                <c:pt idx="4">
                  <c:v>580471.19999999995</c:v>
                </c:pt>
                <c:pt idx="5">
                  <c:v>646106.15</c:v>
                </c:pt>
                <c:pt idx="6">
                  <c:v>662076.4</c:v>
                </c:pt>
                <c:pt idx="7">
                  <c:v>355993.95</c:v>
                </c:pt>
                <c:pt idx="8">
                  <c:v>519101.9</c:v>
                </c:pt>
                <c:pt idx="9">
                  <c:v>548150.69999999995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70F-4594-B5AA-1B2DEFFA4F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Sales by Category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Sales</c:v>
          </c:tx>
          <c:invertIfNegative val="1"/>
          <c:cat>
            <c:strRef>
              <c:f>Dashboard!$AD$3:$AD$6</c:f>
              <c:strCache>
                <c:ptCount val="4"/>
                <c:pt idx="0">
                  <c:v>Home</c:v>
                </c:pt>
                <c:pt idx="1">
                  <c:v>Beauty</c:v>
                </c:pt>
                <c:pt idx="2">
                  <c:v>Electronics</c:v>
                </c:pt>
                <c:pt idx="3">
                  <c:v>Clothing</c:v>
                </c:pt>
              </c:strCache>
            </c:strRef>
          </c:cat>
          <c:val>
            <c:numRef>
              <c:f>Dashboard!$AE$3:$AE$6</c:f>
              <c:numCache>
                <c:formatCode>General</c:formatCode>
                <c:ptCount val="4"/>
                <c:pt idx="0">
                  <c:v>1635421.8</c:v>
                </c:pt>
                <c:pt idx="1">
                  <c:v>1438090.8</c:v>
                </c:pt>
                <c:pt idx="2">
                  <c:v>1391715.25</c:v>
                </c:pt>
                <c:pt idx="3">
                  <c:v>922922.55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42-41DC-8C6A-004A7EFD8F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Profit by Category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Profit</c:v>
          </c:tx>
          <c:invertIfNegative val="1"/>
          <c:cat>
            <c:strRef>
              <c:f>Dashboard!$AG$3:$AG$6</c:f>
              <c:strCache>
                <c:ptCount val="4"/>
                <c:pt idx="0">
                  <c:v>Home</c:v>
                </c:pt>
                <c:pt idx="1">
                  <c:v>Beauty</c:v>
                </c:pt>
                <c:pt idx="2">
                  <c:v>Electronics</c:v>
                </c:pt>
                <c:pt idx="3">
                  <c:v>Clothing</c:v>
                </c:pt>
              </c:strCache>
            </c:strRef>
          </c:cat>
          <c:val>
            <c:numRef>
              <c:f>Dashboard!$AH$3:$AH$6</c:f>
              <c:numCache>
                <c:formatCode>General</c:formatCode>
                <c:ptCount val="4"/>
                <c:pt idx="0">
                  <c:v>438874.8</c:v>
                </c:pt>
                <c:pt idx="1">
                  <c:v>321343.8</c:v>
                </c:pt>
                <c:pt idx="2">
                  <c:v>277258.25</c:v>
                </c:pt>
                <c:pt idx="3">
                  <c:v>207564.55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63-487B-B2A9-85E20194FB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Top 10 Products by Sales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Sales</c:v>
          </c:tx>
          <c:invertIfNegative val="1"/>
          <c:cat>
            <c:strRef>
              <c:f>Dashboard!$AA$16:$AA$25</c:f>
              <c:strCache>
                <c:ptCount val="10"/>
                <c:pt idx="0">
                  <c:v>Jeans</c:v>
                </c:pt>
                <c:pt idx="1">
                  <c:v>Running Shoes</c:v>
                </c:pt>
                <c:pt idx="2">
                  <c:v>T-Shirt</c:v>
                </c:pt>
                <c:pt idx="3">
                  <c:v>Chair</c:v>
                </c:pt>
                <c:pt idx="4">
                  <c:v>Laptop</c:v>
                </c:pt>
                <c:pt idx="5">
                  <c:v>Mixer</c:v>
                </c:pt>
                <c:pt idx="6">
                  <c:v>Smartphone</c:v>
                </c:pt>
                <c:pt idx="7">
                  <c:v>Smart Watch</c:v>
                </c:pt>
                <c:pt idx="8">
                  <c:v>Headphones</c:v>
                </c:pt>
                <c:pt idx="9">
                  <c:v>Face Wash</c:v>
                </c:pt>
              </c:strCache>
            </c:strRef>
          </c:cat>
          <c:val>
            <c:numRef>
              <c:f>Dashboard!$AB$16:$AB$25</c:f>
              <c:numCache>
                <c:formatCode>General</c:formatCode>
                <c:ptCount val="10"/>
                <c:pt idx="0">
                  <c:v>880181.2</c:v>
                </c:pt>
                <c:pt idx="1">
                  <c:v>675059.3</c:v>
                </c:pt>
                <c:pt idx="2">
                  <c:v>650902.19999999995</c:v>
                </c:pt>
                <c:pt idx="3">
                  <c:v>563361.15</c:v>
                </c:pt>
                <c:pt idx="4">
                  <c:v>504779.5</c:v>
                </c:pt>
                <c:pt idx="5">
                  <c:v>498348.05</c:v>
                </c:pt>
                <c:pt idx="6">
                  <c:v>484010.35</c:v>
                </c:pt>
                <c:pt idx="7">
                  <c:v>419679.9</c:v>
                </c:pt>
                <c:pt idx="8">
                  <c:v>381479.15</c:v>
                </c:pt>
                <c:pt idx="9">
                  <c:v>330349.59999999998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2F-4118-B491-3E5753D516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Sales by State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Sales</c:v>
          </c:tx>
          <c:invertIfNegative val="1"/>
          <c:cat>
            <c:strRef>
              <c:f>Dashboard!$AD$16:$AD$21</c:f>
              <c:strCache>
                <c:ptCount val="6"/>
                <c:pt idx="0">
                  <c:v>Delhi</c:v>
                </c:pt>
                <c:pt idx="1">
                  <c:v>Andhra Pradesh</c:v>
                </c:pt>
                <c:pt idx="2">
                  <c:v>Telangana</c:v>
                </c:pt>
                <c:pt idx="3">
                  <c:v>Karnataka</c:v>
                </c:pt>
                <c:pt idx="4">
                  <c:v>Maharashtra</c:v>
                </c:pt>
                <c:pt idx="5">
                  <c:v>Tamil Nadu</c:v>
                </c:pt>
              </c:strCache>
            </c:strRef>
          </c:cat>
          <c:val>
            <c:numRef>
              <c:f>Dashboard!$AE$16:$AE$21</c:f>
              <c:numCache>
                <c:formatCode>General</c:formatCode>
                <c:ptCount val="6"/>
                <c:pt idx="0">
                  <c:v>1450955.9</c:v>
                </c:pt>
                <c:pt idx="1">
                  <c:v>965287.1</c:v>
                </c:pt>
                <c:pt idx="2">
                  <c:v>906023.5</c:v>
                </c:pt>
                <c:pt idx="3">
                  <c:v>851473.1</c:v>
                </c:pt>
                <c:pt idx="4">
                  <c:v>678432.4</c:v>
                </c:pt>
                <c:pt idx="5">
                  <c:v>535978.4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73-47EB-9808-F57486CB8E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Payment Mode Mix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cat>
            <c:strRef>
              <c:f>Dashboard!$AG$16:$AG$19</c:f>
              <c:strCache>
                <c:ptCount val="4"/>
                <c:pt idx="0">
                  <c:v>Credit Card</c:v>
                </c:pt>
                <c:pt idx="1">
                  <c:v>Cash on Delivery</c:v>
                </c:pt>
                <c:pt idx="2">
                  <c:v>UPI</c:v>
                </c:pt>
                <c:pt idx="3">
                  <c:v>Debit Card</c:v>
                </c:pt>
              </c:strCache>
            </c:strRef>
          </c:cat>
          <c:val>
            <c:numRef>
              <c:f>Dashboard!$AH$16:$AH$33</c:f>
              <c:numCache>
                <c:formatCode>General</c:formatCode>
                <c:ptCount val="18"/>
                <c:pt idx="0">
                  <c:v>1815643.35</c:v>
                </c:pt>
                <c:pt idx="1">
                  <c:v>1338621.3500000001</c:v>
                </c:pt>
                <c:pt idx="2">
                  <c:v>1285955.05</c:v>
                </c:pt>
                <c:pt idx="3">
                  <c:v>947930.65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8B-4ACD-BA4D-A111653D32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Customer Segmentation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Customers</c:v>
          </c:tx>
          <c:invertIfNegative val="1"/>
          <c:cat>
            <c:strRef>
              <c:f>Dashboard!$AA$29:$AA$33</c:f>
              <c:strCache>
                <c:ptCount val="5"/>
                <c:pt idx="0">
                  <c:v>Loyal Customers</c:v>
                </c:pt>
                <c:pt idx="1">
                  <c:v>At Risk</c:v>
                </c:pt>
                <c:pt idx="2">
                  <c:v>Champions</c:v>
                </c:pt>
                <c:pt idx="3">
                  <c:v>Potential Loyalists</c:v>
                </c:pt>
                <c:pt idx="4">
                  <c:v>Dormant</c:v>
                </c:pt>
              </c:strCache>
            </c:strRef>
          </c:cat>
          <c:val>
            <c:numRef>
              <c:f>Dashboard!$AB$29:$AB$33</c:f>
              <c:numCache>
                <c:formatCode>General</c:formatCode>
                <c:ptCount val="5"/>
                <c:pt idx="0">
                  <c:v>9</c:v>
                </c:pt>
                <c:pt idx="1">
                  <c:v>11</c:v>
                </c:pt>
                <c:pt idx="2">
                  <c:v>4</c:v>
                </c:pt>
                <c:pt idx="3">
                  <c:v>3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32-4712-8731-8482DEC391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Monthly E-Commerce Sales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strRef>
              <c:f>Monthly_Sales!$A$4:$A$13</c:f>
              <c:strCache>
                <c:ptCount val="10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</c:strCache>
            </c:strRef>
          </c:cat>
          <c:val>
            <c:numRef>
              <c:f>Monthly_Sales!$B$4:$B$13</c:f>
              <c:numCache>
                <c:formatCode>#,##0.00</c:formatCode>
                <c:ptCount val="10"/>
                <c:pt idx="0">
                  <c:v>503257.85</c:v>
                </c:pt>
                <c:pt idx="1">
                  <c:v>588009.80000000005</c:v>
                </c:pt>
                <c:pt idx="2">
                  <c:v>486745.45</c:v>
                </c:pt>
                <c:pt idx="3">
                  <c:v>498237</c:v>
                </c:pt>
                <c:pt idx="4">
                  <c:v>580471.19999999995</c:v>
                </c:pt>
                <c:pt idx="5">
                  <c:v>646106.15</c:v>
                </c:pt>
                <c:pt idx="6">
                  <c:v>662076.4</c:v>
                </c:pt>
                <c:pt idx="7">
                  <c:v>355993.95</c:v>
                </c:pt>
                <c:pt idx="8">
                  <c:v>519101.9</c:v>
                </c:pt>
                <c:pt idx="9">
                  <c:v>548150.69999999995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03B-496C-887B-69A81819B0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Sales by Category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Sales</c:v>
          </c:tx>
          <c:invertIfNegative val="1"/>
          <c:cat>
            <c:strRef>
              <c:f>Category_Analysis!$A$4:$A$7</c:f>
              <c:strCache>
                <c:ptCount val="4"/>
                <c:pt idx="0">
                  <c:v>Home</c:v>
                </c:pt>
                <c:pt idx="1">
                  <c:v>Beauty</c:v>
                </c:pt>
                <c:pt idx="2">
                  <c:v>Electronics</c:v>
                </c:pt>
                <c:pt idx="3">
                  <c:v>Clothing</c:v>
                </c:pt>
              </c:strCache>
            </c:strRef>
          </c:cat>
          <c:val>
            <c:numRef>
              <c:f>Category_Analysis!$B$4:$B$7</c:f>
              <c:numCache>
                <c:formatCode>#,##0.00</c:formatCode>
                <c:ptCount val="4"/>
                <c:pt idx="0">
                  <c:v>1635421.8</c:v>
                </c:pt>
                <c:pt idx="1">
                  <c:v>1438090.8</c:v>
                </c:pt>
                <c:pt idx="2">
                  <c:v>1391715.25</c:v>
                </c:pt>
                <c:pt idx="3">
                  <c:v>922922.55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5D-4230-865E-3BC46DE1F3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Sales by State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Sales</c:v>
          </c:tx>
          <c:invertIfNegative val="1"/>
          <c:cat>
            <c:strRef>
              <c:f>State_Analysis!$A$4:$A$9</c:f>
              <c:strCache>
                <c:ptCount val="6"/>
                <c:pt idx="0">
                  <c:v>Delhi</c:v>
                </c:pt>
                <c:pt idx="1">
                  <c:v>Andhra Pradesh</c:v>
                </c:pt>
                <c:pt idx="2">
                  <c:v>Telangana</c:v>
                </c:pt>
                <c:pt idx="3">
                  <c:v>Karnataka</c:v>
                </c:pt>
                <c:pt idx="4">
                  <c:v>Maharashtra</c:v>
                </c:pt>
                <c:pt idx="5">
                  <c:v>Tamil Nadu</c:v>
                </c:pt>
              </c:strCache>
            </c:strRef>
          </c:cat>
          <c:val>
            <c:numRef>
              <c:f>State_Analysis!$B$4:$B$9</c:f>
              <c:numCache>
                <c:formatCode>#,##0.00</c:formatCode>
                <c:ptCount val="6"/>
                <c:pt idx="0">
                  <c:v>1450955.9</c:v>
                </c:pt>
                <c:pt idx="1">
                  <c:v>965287.1</c:v>
                </c:pt>
                <c:pt idx="2">
                  <c:v>906023.5</c:v>
                </c:pt>
                <c:pt idx="3">
                  <c:v>851473.1</c:v>
                </c:pt>
                <c:pt idx="4">
                  <c:v>678432.4</c:v>
                </c:pt>
                <c:pt idx="5">
                  <c:v>535978.4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08-4876-B784-EEBF977BF7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Top 10 Products by Sales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Sales</c:v>
          </c:tx>
          <c:invertIfNegative val="1"/>
          <c:cat>
            <c:strRef>
              <c:f>Product_Analysis!$B$4:$B$13</c:f>
              <c:strCache>
                <c:ptCount val="10"/>
                <c:pt idx="0">
                  <c:v>Jeans</c:v>
                </c:pt>
                <c:pt idx="1">
                  <c:v>Running Shoes</c:v>
                </c:pt>
                <c:pt idx="2">
                  <c:v>T-Shirt</c:v>
                </c:pt>
                <c:pt idx="3">
                  <c:v>Chair</c:v>
                </c:pt>
                <c:pt idx="4">
                  <c:v>Laptop</c:v>
                </c:pt>
                <c:pt idx="5">
                  <c:v>Mixer</c:v>
                </c:pt>
                <c:pt idx="6">
                  <c:v>Smartphone</c:v>
                </c:pt>
                <c:pt idx="7">
                  <c:v>Smart Watch</c:v>
                </c:pt>
                <c:pt idx="8">
                  <c:v>Headphones</c:v>
                </c:pt>
                <c:pt idx="9">
                  <c:v>Face Wash</c:v>
                </c:pt>
              </c:strCache>
            </c:strRef>
          </c:cat>
          <c:val>
            <c:numRef>
              <c:f>Product_Analysis!$C$4:$C$13</c:f>
              <c:numCache>
                <c:formatCode>#,##0.00</c:formatCode>
                <c:ptCount val="10"/>
                <c:pt idx="0">
                  <c:v>880181.2</c:v>
                </c:pt>
                <c:pt idx="1">
                  <c:v>675059.3</c:v>
                </c:pt>
                <c:pt idx="2">
                  <c:v>650902.19999999995</c:v>
                </c:pt>
                <c:pt idx="3">
                  <c:v>563361.15</c:v>
                </c:pt>
                <c:pt idx="4">
                  <c:v>504779.5</c:v>
                </c:pt>
                <c:pt idx="5">
                  <c:v>498348.05</c:v>
                </c:pt>
                <c:pt idx="6">
                  <c:v>484010.35</c:v>
                </c:pt>
                <c:pt idx="7">
                  <c:v>419679.9</c:v>
                </c:pt>
                <c:pt idx="8">
                  <c:v>381479.15</c:v>
                </c:pt>
                <c:pt idx="9">
                  <c:v>330349.59999999998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17-42B1-A20B-20024172EF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Sales by Payment Mode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v>Sales</c:v>
          </c:tx>
          <c:cat>
            <c:strRef>
              <c:f>Payment_Mode!$A$4:$A$7</c:f>
              <c:strCache>
                <c:ptCount val="4"/>
                <c:pt idx="0">
                  <c:v>Credit Card</c:v>
                </c:pt>
                <c:pt idx="1">
                  <c:v>Cash on Delivery</c:v>
                </c:pt>
                <c:pt idx="2">
                  <c:v>UPI</c:v>
                </c:pt>
                <c:pt idx="3">
                  <c:v>Debit Card</c:v>
                </c:pt>
              </c:strCache>
            </c:strRef>
          </c:cat>
          <c:val>
            <c:numRef>
              <c:f>Payment_Mode!$B$4:$B$7</c:f>
              <c:numCache>
                <c:formatCode>#,##0.00</c:formatCode>
                <c:ptCount val="4"/>
                <c:pt idx="0">
                  <c:v>1815643.35</c:v>
                </c:pt>
                <c:pt idx="1">
                  <c:v>1338621.3500000001</c:v>
                </c:pt>
                <c:pt idx="2">
                  <c:v>1285955.05</c:v>
                </c:pt>
                <c:pt idx="3">
                  <c:v>947930.65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2C-4FDE-8F86-A9E04D47FD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Customer Segmentation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Customers</c:v>
          </c:tx>
          <c:invertIfNegative val="1"/>
          <c:cat>
            <c:strRef>
              <c:f>Customer_Segmentation!$A$4:$A$8</c:f>
              <c:strCache>
                <c:ptCount val="5"/>
                <c:pt idx="0">
                  <c:v>Loyal Customers</c:v>
                </c:pt>
                <c:pt idx="1">
                  <c:v>At Risk</c:v>
                </c:pt>
                <c:pt idx="2">
                  <c:v>Champions</c:v>
                </c:pt>
                <c:pt idx="3">
                  <c:v>Potential Loyalists</c:v>
                </c:pt>
                <c:pt idx="4">
                  <c:v>Dormant</c:v>
                </c:pt>
              </c:strCache>
            </c:strRef>
          </c:cat>
          <c:val>
            <c:numRef>
              <c:f>Customer_Segmentation!$B$4:$B$8</c:f>
              <c:numCache>
                <c:formatCode>General</c:formatCode>
                <c:ptCount val="5"/>
                <c:pt idx="0">
                  <c:v>9</c:v>
                </c:pt>
                <c:pt idx="1">
                  <c:v>11</c:v>
                </c:pt>
                <c:pt idx="2">
                  <c:v>4</c:v>
                </c:pt>
                <c:pt idx="3">
                  <c:v>3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CD-4F1C-A505-20D77AC3C8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7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11</xdr:col>
      <xdr:colOff>0</xdr:colOff>
      <xdr:row>22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7</xdr:row>
      <xdr:rowOff>0</xdr:rowOff>
    </xdr:from>
    <xdr:to>
      <xdr:col>16</xdr:col>
      <xdr:colOff>0</xdr:colOff>
      <xdr:row>22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23</xdr:row>
      <xdr:rowOff>0</xdr:rowOff>
    </xdr:from>
    <xdr:to>
      <xdr:col>7</xdr:col>
      <xdr:colOff>0</xdr:colOff>
      <xdr:row>40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23</xdr:row>
      <xdr:rowOff>0</xdr:rowOff>
    </xdr:from>
    <xdr:to>
      <xdr:col>16</xdr:col>
      <xdr:colOff>0</xdr:colOff>
      <xdr:row>40</xdr:row>
      <xdr:rowOff>0</xdr:rowOff>
    </xdr:to>
    <xdr:graphicFrame macro="">
      <xdr:nvGraphicFramePr>
        <xdr:cNvPr id="6" name="Chart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41</xdr:row>
      <xdr:rowOff>0</xdr:rowOff>
    </xdr:from>
    <xdr:to>
      <xdr:col>6</xdr:col>
      <xdr:colOff>0</xdr:colOff>
      <xdr:row>58</xdr:row>
      <xdr:rowOff>0</xdr:rowOff>
    </xdr:to>
    <xdr:graphicFrame macro="">
      <xdr:nvGraphicFramePr>
        <xdr:cNvPr id="7" name="Chart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0</xdr:colOff>
      <xdr:row>41</xdr:row>
      <xdr:rowOff>0</xdr:rowOff>
    </xdr:from>
    <xdr:to>
      <xdr:col>12</xdr:col>
      <xdr:colOff>0</xdr:colOff>
      <xdr:row>58</xdr:row>
      <xdr:rowOff>0</xdr:rowOff>
    </xdr:to>
    <xdr:graphicFrame macro="">
      <xdr:nvGraphicFramePr>
        <xdr:cNvPr id="8" name="Chart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11</xdr:col>
      <xdr:colOff>0</xdr:colOff>
      <xdr:row>17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13</xdr:col>
      <xdr:colOff>0</xdr:colOff>
      <xdr:row>17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13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KPIsTable" displayName="KPIsTable" ref="A3:C11" totalsRowShown="0">
  <tableColumns count="3">
    <tableColumn id="1" xr3:uid="{00000000-0010-0000-0000-000001000000}" name="KPI"/>
    <tableColumn id="2" xr3:uid="{00000000-0010-0000-0000-000002000000}" name="Value"/>
    <tableColumn id="3" xr3:uid="{00000000-0010-0000-0000-000003000000}" name="Forma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onthly_SalesTable" displayName="Monthly_SalesTable" ref="A3:B13" totalsRowShown="0">
  <tableColumns count="2">
    <tableColumn id="1" xr3:uid="{00000000-0010-0000-0100-000001000000}" name="Month"/>
    <tableColumn id="2" xr3:uid="{00000000-0010-0000-0100-000002000000}" name="Sal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ategory_AnalysisTable" displayName="Category_AnalysisTable" ref="A3:D7" totalsRowShown="0">
  <tableColumns count="4">
    <tableColumn id="1" xr3:uid="{00000000-0010-0000-0200-000001000000}" name="Category"/>
    <tableColumn id="2" xr3:uid="{00000000-0010-0000-0200-000002000000}" name="Sales"/>
    <tableColumn id="3" xr3:uid="{00000000-0010-0000-0200-000003000000}" name="Profit"/>
    <tableColumn id="4" xr3:uid="{00000000-0010-0000-0200-000004000000}" name="Share of Sales %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tate_AnalysisTable" displayName="State_AnalysisTable" ref="A3:C9" totalsRowShown="0">
  <tableColumns count="3">
    <tableColumn id="1" xr3:uid="{00000000-0010-0000-0300-000001000000}" name="State"/>
    <tableColumn id="2" xr3:uid="{00000000-0010-0000-0300-000002000000}" name="Sales"/>
    <tableColumn id="3" xr3:uid="{00000000-0010-0000-0300-000003000000}" name="Share of Sales %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Product_AnalysisTable" displayName="Product_AnalysisTable" ref="A3:D13" totalsRowShown="0">
  <tableColumns count="4">
    <tableColumn id="1" xr3:uid="{00000000-0010-0000-0400-000001000000}" name="Rank"/>
    <tableColumn id="2" xr3:uid="{00000000-0010-0000-0400-000002000000}" name="Product"/>
    <tableColumn id="3" xr3:uid="{00000000-0010-0000-0400-000003000000}" name="Sales"/>
    <tableColumn id="4" xr3:uid="{00000000-0010-0000-0400-000004000000}" name="Share of Sales %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Payment_ModeTable" displayName="Payment_ModeTable" ref="A3:C7" totalsRowShown="0">
  <tableColumns count="3">
    <tableColumn id="1" xr3:uid="{00000000-0010-0000-0500-000001000000}" name="Payment Mode"/>
    <tableColumn id="2" xr3:uid="{00000000-0010-0000-0500-000002000000}" name="Sales"/>
    <tableColumn id="3" xr3:uid="{00000000-0010-0000-0500-000003000000}" name="Share %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Customer_SegmentationTable" displayName="Customer_SegmentationTable" ref="A3:C8" totalsRowShown="0">
  <tableColumns count="3">
    <tableColumn id="1" xr3:uid="{00000000-0010-0000-0600-000001000000}" name="Segment"/>
    <tableColumn id="2" xr3:uid="{00000000-0010-0000-0600-000002000000}" name="Customers"/>
    <tableColumn id="3" xr3:uid="{00000000-0010-0000-0600-000003000000}" name="Share %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DAXMeasuresTable" displayName="DAXMeasuresTable" ref="A3:D11" totalsRowShown="0">
  <tableColumns count="4">
    <tableColumn id="1" xr3:uid="{00000000-0010-0000-0700-000001000000}" name="Measure"/>
    <tableColumn id="2" xr3:uid="{00000000-0010-0000-0700-000002000000}" name="DAX Formula"/>
    <tableColumn id="3" xr3:uid="{00000000-0010-0000-0700-000003000000}" name="Format"/>
    <tableColumn id="4" xr3:uid="{00000000-0010-0000-0700-000004000000}" name="Purpo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64"/>
  <sheetViews>
    <sheetView tabSelected="1" zoomScale="37" workbookViewId="0">
      <selection activeCell="AL33" sqref="AJ26:AL33"/>
    </sheetView>
  </sheetViews>
  <sheetFormatPr defaultRowHeight="14"/>
  <cols>
    <col min="1" max="14" width="14" customWidth="1"/>
    <col min="27" max="34" width="2" customWidth="1"/>
  </cols>
  <sheetData>
    <row r="1" spans="1:34" ht="17.399999999999999" customHeight="1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34" ht="17.399999999999999" customHeight="1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AA2" s="6" t="s">
        <v>1</v>
      </c>
      <c r="AB2" s="6" t="s">
        <v>2</v>
      </c>
      <c r="AC2" s="6"/>
      <c r="AD2" s="6" t="s">
        <v>3</v>
      </c>
      <c r="AE2" s="6" t="s">
        <v>2</v>
      </c>
      <c r="AF2" s="6"/>
      <c r="AG2" s="6" t="s">
        <v>3</v>
      </c>
      <c r="AH2" s="6" t="s">
        <v>4</v>
      </c>
    </row>
    <row r="3" spans="1:34">
      <c r="AA3" s="6" t="s">
        <v>5</v>
      </c>
      <c r="AB3" s="6">
        <v>503257.85</v>
      </c>
      <c r="AC3" s="6"/>
      <c r="AD3" s="6" t="s">
        <v>6</v>
      </c>
      <c r="AE3" s="6">
        <v>1635421.8</v>
      </c>
      <c r="AF3" s="6"/>
      <c r="AG3" s="6" t="s">
        <v>6</v>
      </c>
      <c r="AH3" s="6">
        <v>438874.8</v>
      </c>
    </row>
    <row r="4" spans="1:34">
      <c r="A4" s="11" t="s">
        <v>7</v>
      </c>
      <c r="B4" s="11"/>
      <c r="C4" s="11" t="s">
        <v>8</v>
      </c>
      <c r="D4" s="11"/>
      <c r="E4" s="11" t="s">
        <v>9</v>
      </c>
      <c r="F4" s="11"/>
      <c r="G4" s="11" t="s">
        <v>10</v>
      </c>
      <c r="H4" s="11"/>
      <c r="I4" s="11" t="s">
        <v>11</v>
      </c>
      <c r="J4" s="11"/>
      <c r="K4" s="11" t="s">
        <v>12</v>
      </c>
      <c r="L4" s="11"/>
      <c r="M4" s="11" t="s">
        <v>13</v>
      </c>
      <c r="N4" s="11"/>
      <c r="AA4" s="6" t="s">
        <v>14</v>
      </c>
      <c r="AB4" s="6">
        <v>588009.80000000005</v>
      </c>
      <c r="AC4" s="6"/>
      <c r="AD4" s="6" t="s">
        <v>15</v>
      </c>
      <c r="AE4" s="6">
        <v>1438090.8</v>
      </c>
      <c r="AF4" s="6"/>
      <c r="AG4" s="6" t="s">
        <v>15</v>
      </c>
      <c r="AH4" s="6">
        <v>321343.8</v>
      </c>
    </row>
    <row r="5" spans="1:34">
      <c r="A5" s="12" t="s">
        <v>16</v>
      </c>
      <c r="B5" s="12"/>
      <c r="C5" s="12" t="s">
        <v>17</v>
      </c>
      <c r="D5" s="12"/>
      <c r="E5" s="12" t="s">
        <v>18</v>
      </c>
      <c r="F5" s="12"/>
      <c r="G5" s="12" t="s">
        <v>19</v>
      </c>
      <c r="H5" s="12"/>
      <c r="I5" s="12" t="s">
        <v>20</v>
      </c>
      <c r="J5" s="12"/>
      <c r="K5" s="12" t="s">
        <v>21</v>
      </c>
      <c r="L5" s="12"/>
      <c r="M5" s="12" t="s">
        <v>22</v>
      </c>
      <c r="N5" s="12"/>
      <c r="AA5" s="6" t="s">
        <v>23</v>
      </c>
      <c r="AB5" s="6">
        <v>486745.45</v>
      </c>
      <c r="AC5" s="6"/>
      <c r="AD5" s="6" t="s">
        <v>24</v>
      </c>
      <c r="AE5" s="6">
        <v>1391715.25</v>
      </c>
      <c r="AF5" s="6"/>
      <c r="AG5" s="6" t="s">
        <v>24</v>
      </c>
      <c r="AH5" s="6">
        <v>277258.25</v>
      </c>
    </row>
    <row r="6" spans="1:34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AA6" s="6" t="s">
        <v>25</v>
      </c>
      <c r="AB6" s="6">
        <v>498237</v>
      </c>
      <c r="AC6" s="6"/>
      <c r="AD6" s="6" t="s">
        <v>26</v>
      </c>
      <c r="AE6" s="6">
        <v>922922.55</v>
      </c>
      <c r="AF6" s="6"/>
      <c r="AG6" s="6" t="s">
        <v>26</v>
      </c>
      <c r="AH6" s="6">
        <v>207564.55</v>
      </c>
    </row>
    <row r="7" spans="1:34">
      <c r="AA7" s="6" t="s">
        <v>27</v>
      </c>
      <c r="AB7" s="6">
        <v>580471.19999999995</v>
      </c>
      <c r="AC7" s="6"/>
      <c r="AD7" s="6"/>
      <c r="AE7" s="6"/>
      <c r="AF7" s="6"/>
      <c r="AG7" s="6"/>
      <c r="AH7" s="6"/>
    </row>
    <row r="8" spans="1:34">
      <c r="A8" s="13" t="s">
        <v>28</v>
      </c>
      <c r="B8" s="13"/>
      <c r="C8" s="13"/>
      <c r="D8" s="13"/>
      <c r="E8" s="13"/>
      <c r="F8" s="13"/>
      <c r="G8" s="13"/>
      <c r="H8" s="13" t="s">
        <v>29</v>
      </c>
      <c r="I8" s="13"/>
      <c r="J8" s="13"/>
      <c r="K8" s="13"/>
      <c r="L8" s="13" t="s">
        <v>30</v>
      </c>
      <c r="M8" s="13"/>
      <c r="N8" s="13"/>
      <c r="AA8" s="6" t="s">
        <v>31</v>
      </c>
      <c r="AB8" s="6">
        <v>646106.15</v>
      </c>
      <c r="AC8" s="6"/>
      <c r="AD8" s="6"/>
      <c r="AE8" s="6"/>
      <c r="AF8" s="6"/>
      <c r="AG8" s="6"/>
      <c r="AH8" s="6"/>
    </row>
    <row r="9" spans="1:34">
      <c r="AA9" s="6" t="s">
        <v>32</v>
      </c>
      <c r="AB9" s="6">
        <v>662076.4</v>
      </c>
      <c r="AC9" s="6"/>
      <c r="AD9" s="6"/>
      <c r="AE9" s="6"/>
      <c r="AF9" s="6"/>
      <c r="AG9" s="6"/>
      <c r="AH9" s="6"/>
    </row>
    <row r="10" spans="1:34">
      <c r="AA10" s="6" t="s">
        <v>33</v>
      </c>
      <c r="AB10" s="6">
        <v>355993.95</v>
      </c>
      <c r="AC10" s="6"/>
      <c r="AD10" s="6"/>
      <c r="AE10" s="6"/>
      <c r="AF10" s="6"/>
      <c r="AG10" s="6"/>
      <c r="AH10" s="6"/>
    </row>
    <row r="11" spans="1:34">
      <c r="AA11" s="6" t="s">
        <v>34</v>
      </c>
      <c r="AB11" s="6">
        <v>519101.9</v>
      </c>
      <c r="AC11" s="6"/>
      <c r="AD11" s="6"/>
      <c r="AE11" s="6"/>
      <c r="AF11" s="6"/>
      <c r="AG11" s="6"/>
      <c r="AH11" s="6"/>
    </row>
    <row r="12" spans="1:34">
      <c r="AA12" s="6" t="s">
        <v>35</v>
      </c>
      <c r="AB12" s="6">
        <v>548150.69999999995</v>
      </c>
      <c r="AC12" s="6"/>
      <c r="AD12" s="6"/>
      <c r="AE12" s="6"/>
      <c r="AF12" s="6"/>
      <c r="AG12" s="6"/>
      <c r="AH12" s="6"/>
    </row>
    <row r="13" spans="1:34">
      <c r="AA13" s="6"/>
      <c r="AB13" s="6"/>
      <c r="AC13" s="6"/>
      <c r="AD13" s="6"/>
      <c r="AE13" s="6"/>
      <c r="AF13" s="6"/>
      <c r="AG13" s="6"/>
      <c r="AH13" s="6"/>
    </row>
    <row r="14" spans="1:34">
      <c r="AA14" s="6"/>
      <c r="AB14" s="6"/>
      <c r="AC14" s="6"/>
      <c r="AD14" s="6"/>
      <c r="AE14" s="6"/>
      <c r="AF14" s="6"/>
      <c r="AG14" s="6"/>
      <c r="AH14" s="6"/>
    </row>
    <row r="15" spans="1:34">
      <c r="AA15" s="6" t="s">
        <v>36</v>
      </c>
      <c r="AB15" s="6" t="s">
        <v>2</v>
      </c>
      <c r="AC15" s="6"/>
      <c r="AD15" s="6" t="s">
        <v>37</v>
      </c>
      <c r="AE15" s="6" t="s">
        <v>2</v>
      </c>
      <c r="AF15" s="6"/>
      <c r="AG15" s="6" t="s">
        <v>38</v>
      </c>
      <c r="AH15" s="6" t="s">
        <v>2</v>
      </c>
    </row>
    <row r="16" spans="1:34">
      <c r="AA16" s="6" t="s">
        <v>39</v>
      </c>
      <c r="AB16" s="6">
        <v>880181.2</v>
      </c>
      <c r="AC16" s="6"/>
      <c r="AD16" s="6" t="s">
        <v>40</v>
      </c>
      <c r="AE16" s="6">
        <v>1450955.9</v>
      </c>
      <c r="AF16" s="6"/>
      <c r="AG16" s="6" t="s">
        <v>41</v>
      </c>
      <c r="AH16" s="6">
        <v>1815643.35</v>
      </c>
    </row>
    <row r="17" spans="1:34">
      <c r="AA17" s="6" t="s">
        <v>42</v>
      </c>
      <c r="AB17" s="6">
        <v>675059.3</v>
      </c>
      <c r="AC17" s="6"/>
      <c r="AD17" s="6" t="s">
        <v>43</v>
      </c>
      <c r="AE17" s="6">
        <v>965287.1</v>
      </c>
      <c r="AF17" s="6"/>
      <c r="AG17" s="6" t="s">
        <v>44</v>
      </c>
      <c r="AH17" s="6">
        <v>1338621.3500000001</v>
      </c>
    </row>
    <row r="18" spans="1:34">
      <c r="AA18" s="6" t="s">
        <v>45</v>
      </c>
      <c r="AB18" s="6">
        <v>650902.19999999995</v>
      </c>
      <c r="AC18" s="6"/>
      <c r="AD18" s="6" t="s">
        <v>46</v>
      </c>
      <c r="AE18" s="6">
        <v>906023.5</v>
      </c>
      <c r="AF18" s="6"/>
      <c r="AG18" s="6" t="s">
        <v>47</v>
      </c>
      <c r="AH18" s="6">
        <v>1285955.05</v>
      </c>
    </row>
    <row r="19" spans="1:34">
      <c r="AA19" s="6" t="s">
        <v>48</v>
      </c>
      <c r="AB19" s="6">
        <v>563361.15</v>
      </c>
      <c r="AC19" s="6"/>
      <c r="AD19" s="6" t="s">
        <v>49</v>
      </c>
      <c r="AE19" s="6">
        <v>851473.1</v>
      </c>
      <c r="AF19" s="6"/>
      <c r="AG19" s="6" t="s">
        <v>50</v>
      </c>
      <c r="AH19" s="6">
        <v>947930.65</v>
      </c>
    </row>
    <row r="20" spans="1:34">
      <c r="AA20" s="6" t="s">
        <v>51</v>
      </c>
      <c r="AB20" s="6">
        <v>504779.5</v>
      </c>
      <c r="AC20" s="6"/>
      <c r="AD20" s="6" t="s">
        <v>52</v>
      </c>
      <c r="AE20" s="6">
        <v>678432.4</v>
      </c>
      <c r="AF20" s="6"/>
      <c r="AG20" s="6"/>
      <c r="AH20" s="6"/>
    </row>
    <row r="21" spans="1:34">
      <c r="AA21" s="6" t="s">
        <v>53</v>
      </c>
      <c r="AB21" s="6">
        <v>498348.05</v>
      </c>
      <c r="AC21" s="6"/>
      <c r="AD21" s="6" t="s">
        <v>54</v>
      </c>
      <c r="AE21" s="6">
        <v>535978.4</v>
      </c>
      <c r="AF21" s="6"/>
      <c r="AG21" s="6"/>
      <c r="AH21" s="6"/>
    </row>
    <row r="22" spans="1:34">
      <c r="AA22" s="6" t="s">
        <v>55</v>
      </c>
      <c r="AB22" s="6">
        <v>484010.35</v>
      </c>
      <c r="AC22" s="6"/>
      <c r="AD22" s="6"/>
      <c r="AE22" s="6"/>
      <c r="AF22" s="6"/>
      <c r="AG22" s="6"/>
      <c r="AH22" s="6"/>
    </row>
    <row r="23" spans="1:34">
      <c r="AA23" s="6" t="s">
        <v>56</v>
      </c>
      <c r="AB23" s="6">
        <v>419679.9</v>
      </c>
      <c r="AC23" s="6"/>
      <c r="AD23" s="6"/>
      <c r="AE23" s="6"/>
      <c r="AF23" s="6"/>
      <c r="AG23" s="6"/>
      <c r="AH23" s="6"/>
    </row>
    <row r="24" spans="1:34">
      <c r="A24" s="13" t="s">
        <v>57</v>
      </c>
      <c r="B24" s="13"/>
      <c r="C24" s="13"/>
      <c r="D24" s="13"/>
      <c r="E24" s="13"/>
      <c r="F24" s="13"/>
      <c r="G24" s="13"/>
      <c r="H24" s="13" t="s">
        <v>58</v>
      </c>
      <c r="I24" s="13"/>
      <c r="J24" s="13"/>
      <c r="K24" s="13"/>
      <c r="L24" s="13"/>
      <c r="M24" s="13"/>
      <c r="N24" s="13"/>
      <c r="AA24" s="6" t="s">
        <v>59</v>
      </c>
      <c r="AB24" s="6">
        <v>381479.15</v>
      </c>
      <c r="AC24" s="6"/>
      <c r="AD24" s="6"/>
      <c r="AE24" s="6"/>
      <c r="AF24" s="6"/>
      <c r="AG24" s="6"/>
      <c r="AH24" s="6"/>
    </row>
    <row r="25" spans="1:34">
      <c r="AA25" s="6" t="s">
        <v>60</v>
      </c>
      <c r="AB25" s="6">
        <v>330349.59999999998</v>
      </c>
      <c r="AC25" s="6"/>
      <c r="AD25" s="6"/>
      <c r="AE25" s="6"/>
      <c r="AF25" s="6"/>
      <c r="AG25" s="6"/>
      <c r="AH25" s="6"/>
    </row>
    <row r="26" spans="1:34">
      <c r="AA26" s="6"/>
      <c r="AB26" s="6"/>
      <c r="AC26" s="6"/>
      <c r="AD26" s="6"/>
      <c r="AE26" s="6"/>
      <c r="AF26" s="6"/>
      <c r="AG26" s="6"/>
      <c r="AH26" s="6"/>
    </row>
    <row r="27" spans="1:34">
      <c r="AA27" s="6"/>
      <c r="AB27" s="6"/>
      <c r="AC27" s="6"/>
      <c r="AD27" s="6"/>
      <c r="AE27" s="6"/>
      <c r="AF27" s="6"/>
      <c r="AG27" s="6"/>
      <c r="AH27" s="6"/>
    </row>
    <row r="28" spans="1:34">
      <c r="AA28" s="6" t="s">
        <v>61</v>
      </c>
      <c r="AB28" s="6" t="s">
        <v>10</v>
      </c>
      <c r="AC28" s="6"/>
      <c r="AD28" s="6"/>
      <c r="AE28" s="6"/>
      <c r="AF28" s="6"/>
      <c r="AG28" s="6"/>
      <c r="AH28" s="6"/>
    </row>
    <row r="29" spans="1:34">
      <c r="AA29" s="6" t="s">
        <v>62</v>
      </c>
      <c r="AB29" s="6">
        <v>9</v>
      </c>
      <c r="AC29" s="6"/>
      <c r="AD29" s="6"/>
      <c r="AE29" s="6"/>
      <c r="AF29" s="6"/>
      <c r="AG29" s="6"/>
      <c r="AH29" s="6"/>
    </row>
    <row r="30" spans="1:34">
      <c r="AA30" s="6" t="s">
        <v>63</v>
      </c>
      <c r="AB30" s="6">
        <v>11</v>
      </c>
      <c r="AC30" s="6"/>
      <c r="AD30" s="6"/>
      <c r="AE30" s="6"/>
      <c r="AF30" s="6"/>
      <c r="AG30" s="6"/>
      <c r="AH30" s="6"/>
    </row>
    <row r="31" spans="1:34">
      <c r="AA31" s="6" t="s">
        <v>64</v>
      </c>
      <c r="AB31" s="6">
        <v>4</v>
      </c>
      <c r="AC31" s="6"/>
      <c r="AD31" s="6"/>
      <c r="AE31" s="6"/>
      <c r="AF31" s="6"/>
      <c r="AG31" s="6"/>
      <c r="AH31" s="6"/>
    </row>
    <row r="32" spans="1:34">
      <c r="AA32" s="6" t="s">
        <v>65</v>
      </c>
      <c r="AB32" s="6">
        <v>3</v>
      </c>
      <c r="AC32" s="6"/>
      <c r="AD32" s="6"/>
      <c r="AE32" s="6"/>
      <c r="AF32" s="6"/>
      <c r="AG32" s="6"/>
      <c r="AH32" s="6"/>
    </row>
    <row r="33" spans="1:34">
      <c r="AA33" s="6" t="s">
        <v>66</v>
      </c>
      <c r="AB33" s="6">
        <v>1</v>
      </c>
      <c r="AC33" s="6"/>
      <c r="AD33" s="6"/>
      <c r="AE33" s="6"/>
      <c r="AF33" s="6"/>
      <c r="AG33" s="6"/>
      <c r="AH33" s="6"/>
    </row>
    <row r="40" spans="1:34">
      <c r="A40" s="13" t="s">
        <v>67</v>
      </c>
      <c r="B40" s="13"/>
      <c r="C40" s="13"/>
      <c r="D40" s="13"/>
      <c r="E40" s="13" t="s">
        <v>68</v>
      </c>
      <c r="F40" s="13"/>
      <c r="G40" s="13"/>
      <c r="H40" s="13"/>
      <c r="I40" s="13" t="s">
        <v>69</v>
      </c>
      <c r="J40" s="13"/>
      <c r="K40" s="13"/>
      <c r="L40" s="13"/>
      <c r="M40" s="13"/>
      <c r="N40" s="13"/>
    </row>
    <row r="41" spans="1:34">
      <c r="I41" s="1" t="s">
        <v>70</v>
      </c>
      <c r="J41" s="1" t="s">
        <v>71</v>
      </c>
      <c r="K41" s="1"/>
      <c r="L41" s="1"/>
      <c r="M41" s="1"/>
      <c r="N41" s="1"/>
    </row>
    <row r="42" spans="1:34" ht="31">
      <c r="I42" s="2" t="s">
        <v>72</v>
      </c>
      <c r="J42" t="s">
        <v>6</v>
      </c>
      <c r="M42" s="7" t="s">
        <v>73</v>
      </c>
      <c r="N42" s="7"/>
      <c r="O42" s="7"/>
      <c r="P42" s="7"/>
    </row>
    <row r="43" spans="1:34">
      <c r="I43" s="2" t="s">
        <v>74</v>
      </c>
      <c r="J43" t="s">
        <v>39</v>
      </c>
      <c r="M43" s="8" t="s">
        <v>72</v>
      </c>
      <c r="N43" s="8" t="s">
        <v>6</v>
      </c>
      <c r="O43" s="3"/>
      <c r="P43" s="3"/>
    </row>
    <row r="44" spans="1:34">
      <c r="I44" s="2" t="s">
        <v>75</v>
      </c>
      <c r="J44" t="s">
        <v>40</v>
      </c>
      <c r="M44" s="8" t="s">
        <v>74</v>
      </c>
      <c r="N44" s="8" t="s">
        <v>39</v>
      </c>
      <c r="O44" s="3"/>
      <c r="P44" s="3"/>
    </row>
    <row r="45" spans="1:34">
      <c r="I45" s="2" t="s">
        <v>76</v>
      </c>
      <c r="J45" t="s">
        <v>77</v>
      </c>
      <c r="M45" s="8" t="s">
        <v>75</v>
      </c>
      <c r="N45" s="8" t="s">
        <v>40</v>
      </c>
      <c r="O45" s="3"/>
      <c r="P45" s="3"/>
    </row>
    <row r="46" spans="1:34">
      <c r="I46" s="2" t="s">
        <v>78</v>
      </c>
      <c r="J46" t="s">
        <v>79</v>
      </c>
      <c r="M46" s="8" t="s">
        <v>76</v>
      </c>
      <c r="N46" s="8" t="s">
        <v>77</v>
      </c>
      <c r="O46" s="3"/>
      <c r="P46" s="3"/>
    </row>
    <row r="47" spans="1:34">
      <c r="I47" s="2" t="s">
        <v>80</v>
      </c>
      <c r="J47" t="s">
        <v>63</v>
      </c>
      <c r="M47" s="8" t="s">
        <v>81</v>
      </c>
      <c r="N47" s="8" t="s">
        <v>79</v>
      </c>
      <c r="O47" s="3"/>
      <c r="P47" s="3"/>
    </row>
    <row r="48" spans="1:34" ht="28">
      <c r="M48" s="8" t="s">
        <v>80</v>
      </c>
      <c r="N48" s="8" t="s">
        <v>63</v>
      </c>
      <c r="O48" s="3"/>
      <c r="P48" s="3"/>
    </row>
    <row r="49" spans="1:16">
      <c r="M49" s="8" t="s">
        <v>12</v>
      </c>
      <c r="N49" s="8" t="s">
        <v>21</v>
      </c>
      <c r="O49" s="3"/>
      <c r="P49" s="3"/>
    </row>
    <row r="50" spans="1:16" ht="28">
      <c r="M50" s="8" t="s">
        <v>13</v>
      </c>
      <c r="N50" s="8" t="s">
        <v>22</v>
      </c>
      <c r="O50" s="3"/>
      <c r="P50" s="3"/>
    </row>
    <row r="58" spans="1:16">
      <c r="A58" s="13" t="s">
        <v>82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</row>
    <row r="59" spans="1:16">
      <c r="A59" s="1" t="s">
        <v>83</v>
      </c>
      <c r="B59" s="1" t="s">
        <v>84</v>
      </c>
      <c r="C59" s="1" t="s">
        <v>85</v>
      </c>
      <c r="D59" s="1" t="s">
        <v>86</v>
      </c>
      <c r="E59" s="1" t="s">
        <v>87</v>
      </c>
      <c r="F59" s="1" t="s">
        <v>88</v>
      </c>
      <c r="G59" s="1"/>
      <c r="H59" s="1" t="s">
        <v>89</v>
      </c>
      <c r="I59" s="1"/>
      <c r="J59" s="1"/>
      <c r="K59" s="1"/>
      <c r="L59" s="1"/>
      <c r="M59" s="1"/>
      <c r="N59" s="1"/>
    </row>
    <row r="60" spans="1:16" ht="70">
      <c r="A60" s="3" t="s">
        <v>90</v>
      </c>
      <c r="B60" s="3" t="s">
        <v>91</v>
      </c>
      <c r="C60" s="3" t="s">
        <v>92</v>
      </c>
      <c r="D60" s="3" t="s">
        <v>93</v>
      </c>
      <c r="E60" s="3" t="s">
        <v>94</v>
      </c>
      <c r="F60" s="3" t="s">
        <v>95</v>
      </c>
      <c r="G60" s="3"/>
      <c r="H60" s="3" t="s">
        <v>96</v>
      </c>
      <c r="I60" s="3"/>
      <c r="J60" s="3"/>
      <c r="K60" s="3"/>
      <c r="L60" s="3"/>
      <c r="M60" s="3"/>
      <c r="N60" s="3"/>
    </row>
    <row r="61" spans="1:16">
      <c r="A61" s="3" t="s">
        <v>90</v>
      </c>
      <c r="B61" s="3" t="s">
        <v>97</v>
      </c>
      <c r="C61" s="3" t="s">
        <v>1</v>
      </c>
      <c r="D61" s="3" t="s">
        <v>7</v>
      </c>
      <c r="E61" s="3" t="s">
        <v>98</v>
      </c>
      <c r="F61" s="3" t="s">
        <v>99</v>
      </c>
      <c r="G61" s="3"/>
      <c r="H61" s="3" t="s">
        <v>100</v>
      </c>
      <c r="I61" s="3"/>
      <c r="J61" s="3"/>
      <c r="K61" s="3"/>
      <c r="L61" s="3"/>
      <c r="M61" s="3"/>
      <c r="N61" s="3"/>
    </row>
    <row r="62" spans="1:16" ht="28">
      <c r="A62" s="3" t="s">
        <v>90</v>
      </c>
      <c r="B62" s="3" t="s">
        <v>101</v>
      </c>
      <c r="C62" s="3" t="s">
        <v>3</v>
      </c>
      <c r="D62" s="3" t="s">
        <v>7</v>
      </c>
      <c r="E62" s="3" t="s">
        <v>98</v>
      </c>
      <c r="F62" s="3" t="s">
        <v>102</v>
      </c>
      <c r="G62" s="3"/>
      <c r="H62" s="3" t="s">
        <v>103</v>
      </c>
      <c r="I62" s="3"/>
      <c r="J62" s="3"/>
      <c r="K62" s="3"/>
      <c r="L62" s="3"/>
      <c r="M62" s="3"/>
      <c r="N62" s="3"/>
    </row>
    <row r="63" spans="1:16" ht="28">
      <c r="A63" s="3" t="s">
        <v>90</v>
      </c>
      <c r="B63" s="3" t="s">
        <v>101</v>
      </c>
      <c r="C63" s="3" t="s">
        <v>3</v>
      </c>
      <c r="D63" s="3" t="s">
        <v>8</v>
      </c>
      <c r="E63" s="3" t="s">
        <v>98</v>
      </c>
      <c r="F63" s="3" t="s">
        <v>104</v>
      </c>
      <c r="G63" s="3"/>
      <c r="H63" s="3" t="s">
        <v>103</v>
      </c>
      <c r="I63" s="3"/>
      <c r="J63" s="3"/>
      <c r="K63" s="3"/>
      <c r="L63" s="3"/>
      <c r="M63" s="3"/>
      <c r="N63" s="3"/>
    </row>
    <row r="64" spans="1:16" ht="28">
      <c r="A64" s="3" t="s">
        <v>90</v>
      </c>
      <c r="B64" s="3" t="s">
        <v>105</v>
      </c>
      <c r="C64" s="3" t="s">
        <v>36</v>
      </c>
      <c r="D64" s="3" t="s">
        <v>7</v>
      </c>
      <c r="E64" s="3" t="s">
        <v>3</v>
      </c>
      <c r="F64" s="3" t="s">
        <v>106</v>
      </c>
      <c r="G64" s="3"/>
      <c r="H64" s="3" t="s">
        <v>107</v>
      </c>
      <c r="I64" s="3"/>
      <c r="J64" s="3"/>
      <c r="K64" s="3"/>
      <c r="L64" s="3"/>
      <c r="M64" s="3"/>
      <c r="N64" s="3"/>
    </row>
  </sheetData>
  <mergeCells count="24">
    <mergeCell ref="A40:D40"/>
    <mergeCell ref="E40:H40"/>
    <mergeCell ref="I40:N40"/>
    <mergeCell ref="A58:N58"/>
    <mergeCell ref="A8:G8"/>
    <mergeCell ref="H8:K8"/>
    <mergeCell ref="L8:N8"/>
    <mergeCell ref="A24:G24"/>
    <mergeCell ref="H24:N24"/>
    <mergeCell ref="A1:N2"/>
    <mergeCell ref="A4:B4"/>
    <mergeCell ref="A5:B6"/>
    <mergeCell ref="C4:D4"/>
    <mergeCell ref="C5:D6"/>
    <mergeCell ref="E4:F4"/>
    <mergeCell ref="E5:F6"/>
    <mergeCell ref="G4:H4"/>
    <mergeCell ref="G5:H6"/>
    <mergeCell ref="I4:J4"/>
    <mergeCell ref="I5:J6"/>
    <mergeCell ref="K4:L4"/>
    <mergeCell ref="K5:L6"/>
    <mergeCell ref="M4:N4"/>
    <mergeCell ref="M5:N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/>
  </sheetViews>
  <sheetFormatPr defaultRowHeight="14"/>
  <cols>
    <col min="1" max="1" width="25" customWidth="1"/>
    <col min="2" max="2" width="18" customWidth="1"/>
    <col min="3" max="3" width="15" customWidth="1"/>
  </cols>
  <sheetData>
    <row r="1" spans="1:3" ht="20">
      <c r="A1" s="9" t="s">
        <v>108</v>
      </c>
      <c r="B1" s="10"/>
      <c r="C1" s="10"/>
    </row>
    <row r="3" spans="1:3">
      <c r="A3" s="1" t="s">
        <v>109</v>
      </c>
      <c r="B3" s="1" t="s">
        <v>110</v>
      </c>
      <c r="C3" s="1" t="s">
        <v>111</v>
      </c>
    </row>
    <row r="4" spans="1:3">
      <c r="A4" t="s">
        <v>7</v>
      </c>
      <c r="B4" s="4">
        <v>5388150.4000000004</v>
      </c>
      <c r="C4" t="s">
        <v>112</v>
      </c>
    </row>
    <row r="5" spans="1:3">
      <c r="A5" t="s">
        <v>8</v>
      </c>
      <c r="B5" s="4">
        <v>1245041.3999999999</v>
      </c>
      <c r="C5" t="s">
        <v>112</v>
      </c>
    </row>
    <row r="6" spans="1:3">
      <c r="A6" t="s">
        <v>9</v>
      </c>
      <c r="B6" s="4">
        <v>100</v>
      </c>
      <c r="C6" t="s">
        <v>113</v>
      </c>
    </row>
    <row r="7" spans="1:3">
      <c r="A7" t="s">
        <v>114</v>
      </c>
      <c r="B7" s="4">
        <v>28</v>
      </c>
      <c r="C7" t="s">
        <v>113</v>
      </c>
    </row>
    <row r="8" spans="1:3">
      <c r="A8" t="s">
        <v>115</v>
      </c>
      <c r="B8" s="4">
        <v>10</v>
      </c>
      <c r="C8" t="s">
        <v>113</v>
      </c>
    </row>
    <row r="9" spans="1:3">
      <c r="A9" t="s">
        <v>116</v>
      </c>
      <c r="B9" s="4">
        <v>53881.504000000001</v>
      </c>
      <c r="C9" t="s">
        <v>112</v>
      </c>
    </row>
    <row r="10" spans="1:3">
      <c r="A10" t="s">
        <v>12</v>
      </c>
      <c r="B10" s="4">
        <v>23.11</v>
      </c>
      <c r="C10" t="s">
        <v>117</v>
      </c>
    </row>
    <row r="11" spans="1:3">
      <c r="A11" t="s">
        <v>118</v>
      </c>
      <c r="B11" s="4">
        <v>92.86</v>
      </c>
      <c r="C11" t="s">
        <v>117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workbookViewId="0"/>
  </sheetViews>
  <sheetFormatPr defaultRowHeight="14"/>
  <cols>
    <col min="1" max="1" width="14" customWidth="1"/>
    <col min="2" max="2" width="18" customWidth="1"/>
  </cols>
  <sheetData>
    <row r="1" spans="1:2" ht="20">
      <c r="A1" s="9" t="s">
        <v>119</v>
      </c>
      <c r="B1" s="10"/>
    </row>
    <row r="3" spans="1:2">
      <c r="A3" s="1" t="s">
        <v>1</v>
      </c>
      <c r="B3" s="1" t="s">
        <v>2</v>
      </c>
    </row>
    <row r="4" spans="1:2">
      <c r="A4" t="s">
        <v>5</v>
      </c>
      <c r="B4" s="4">
        <v>503257.85</v>
      </c>
    </row>
    <row r="5" spans="1:2">
      <c r="A5" t="s">
        <v>14</v>
      </c>
      <c r="B5" s="4">
        <v>588009.80000000005</v>
      </c>
    </row>
    <row r="6" spans="1:2">
      <c r="A6" t="s">
        <v>23</v>
      </c>
      <c r="B6" s="4">
        <v>486745.45</v>
      </c>
    </row>
    <row r="7" spans="1:2">
      <c r="A7" t="s">
        <v>25</v>
      </c>
      <c r="B7" s="4">
        <v>498237</v>
      </c>
    </row>
    <row r="8" spans="1:2">
      <c r="A8" t="s">
        <v>27</v>
      </c>
      <c r="B8" s="4">
        <v>580471.19999999995</v>
      </c>
    </row>
    <row r="9" spans="1:2">
      <c r="A9" t="s">
        <v>31</v>
      </c>
      <c r="B9" s="4">
        <v>646106.15</v>
      </c>
    </row>
    <row r="10" spans="1:2">
      <c r="A10" t="s">
        <v>32</v>
      </c>
      <c r="B10" s="4">
        <v>662076.4</v>
      </c>
    </row>
    <row r="11" spans="1:2">
      <c r="A11" t="s">
        <v>33</v>
      </c>
      <c r="B11" s="4">
        <v>355993.95</v>
      </c>
    </row>
    <row r="12" spans="1:2">
      <c r="A12" t="s">
        <v>34</v>
      </c>
      <c r="B12" s="4">
        <v>519101.9</v>
      </c>
    </row>
    <row r="13" spans="1:2">
      <c r="A13" t="s">
        <v>35</v>
      </c>
      <c r="B13" s="4">
        <v>548150.69999999995</v>
      </c>
    </row>
  </sheetData>
  <mergeCells count="1">
    <mergeCell ref="A1:B1"/>
  </mergeCell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workbookViewId="0"/>
  </sheetViews>
  <sheetFormatPr defaultRowHeight="14"/>
  <cols>
    <col min="1" max="4" width="18" customWidth="1"/>
  </cols>
  <sheetData>
    <row r="1" spans="1:4" ht="20">
      <c r="A1" s="9" t="s">
        <v>120</v>
      </c>
      <c r="B1" s="10"/>
      <c r="C1" s="10"/>
      <c r="D1" s="10"/>
    </row>
    <row r="3" spans="1:4">
      <c r="A3" s="1" t="s">
        <v>3</v>
      </c>
      <c r="B3" s="1" t="s">
        <v>2</v>
      </c>
      <c r="C3" s="1" t="s">
        <v>4</v>
      </c>
      <c r="D3" s="1" t="s">
        <v>121</v>
      </c>
    </row>
    <row r="4" spans="1:4">
      <c r="A4" t="s">
        <v>6</v>
      </c>
      <c r="B4" s="4">
        <v>1635421.8</v>
      </c>
      <c r="C4" s="4">
        <v>438874.8</v>
      </c>
      <c r="D4" s="5">
        <v>30.352192841536123</v>
      </c>
    </row>
    <row r="5" spans="1:4">
      <c r="A5" t="s">
        <v>15</v>
      </c>
      <c r="B5" s="4">
        <v>1438090.8</v>
      </c>
      <c r="C5" s="4">
        <v>321343.8</v>
      </c>
      <c r="D5" s="5">
        <v>26.689878589877519</v>
      </c>
    </row>
    <row r="6" spans="1:4">
      <c r="A6" t="s">
        <v>24</v>
      </c>
      <c r="B6" s="4">
        <v>1391715.25</v>
      </c>
      <c r="C6" s="4">
        <v>277258.25</v>
      </c>
      <c r="D6" s="5">
        <v>25.829183424427054</v>
      </c>
    </row>
    <row r="7" spans="1:4">
      <c r="A7" t="s">
        <v>26</v>
      </c>
      <c r="B7" s="4">
        <v>922922.55</v>
      </c>
      <c r="C7" s="4">
        <v>207564.55</v>
      </c>
      <c r="D7" s="5">
        <v>17.128745144159303</v>
      </c>
    </row>
  </sheetData>
  <mergeCells count="1">
    <mergeCell ref="A1:D1"/>
  </mergeCells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"/>
  <sheetViews>
    <sheetView workbookViewId="0"/>
  </sheetViews>
  <sheetFormatPr defaultRowHeight="14"/>
  <cols>
    <col min="1" max="1" width="22" customWidth="1"/>
    <col min="2" max="3" width="18" customWidth="1"/>
  </cols>
  <sheetData>
    <row r="1" spans="1:3" ht="20">
      <c r="A1" s="9" t="s">
        <v>122</v>
      </c>
      <c r="B1" s="10"/>
      <c r="C1" s="10"/>
    </row>
    <row r="3" spans="1:3">
      <c r="A3" s="1" t="s">
        <v>37</v>
      </c>
      <c r="B3" s="1" t="s">
        <v>2</v>
      </c>
      <c r="C3" s="1" t="s">
        <v>121</v>
      </c>
    </row>
    <row r="4" spans="1:3">
      <c r="A4" t="s">
        <v>40</v>
      </c>
      <c r="B4" s="4">
        <v>1450955.9</v>
      </c>
      <c r="C4" s="5">
        <v>26.92864512467952</v>
      </c>
    </row>
    <row r="5" spans="1:3">
      <c r="A5" t="s">
        <v>43</v>
      </c>
      <c r="B5" s="4">
        <v>965287.1</v>
      </c>
      <c r="C5" s="5">
        <v>17.914999180423766</v>
      </c>
    </row>
    <row r="6" spans="1:3">
      <c r="A6" t="s">
        <v>46</v>
      </c>
      <c r="B6" s="4">
        <v>906023.5</v>
      </c>
      <c r="C6" s="5">
        <v>16.815111545512909</v>
      </c>
    </row>
    <row r="7" spans="1:3">
      <c r="A7" t="s">
        <v>49</v>
      </c>
      <c r="B7" s="4">
        <v>851473.1</v>
      </c>
      <c r="C7" s="5">
        <v>15.802697341187802</v>
      </c>
    </row>
    <row r="8" spans="1:3">
      <c r="A8" t="s">
        <v>52</v>
      </c>
      <c r="B8" s="4">
        <v>678432.4</v>
      </c>
      <c r="C8" s="5">
        <v>12.591192703158397</v>
      </c>
    </row>
    <row r="9" spans="1:3">
      <c r="A9" t="s">
        <v>54</v>
      </c>
      <c r="B9" s="4">
        <v>535978.4</v>
      </c>
      <c r="C9" s="5">
        <v>9.9473541050376024</v>
      </c>
    </row>
  </sheetData>
  <mergeCells count="1">
    <mergeCell ref="A1:C1"/>
  </mergeCells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3"/>
  <sheetViews>
    <sheetView workbookViewId="0"/>
  </sheetViews>
  <sheetFormatPr defaultRowHeight="14"/>
  <cols>
    <col min="1" max="1" width="10" customWidth="1"/>
    <col min="2" max="2" width="22" customWidth="1"/>
    <col min="3" max="4" width="18" customWidth="1"/>
  </cols>
  <sheetData>
    <row r="1" spans="1:4" ht="20">
      <c r="A1" s="9" t="s">
        <v>123</v>
      </c>
      <c r="B1" s="10"/>
      <c r="C1" s="10"/>
      <c r="D1" s="10"/>
    </row>
    <row r="3" spans="1:4">
      <c r="A3" s="1" t="s">
        <v>124</v>
      </c>
      <c r="B3" s="1" t="s">
        <v>36</v>
      </c>
      <c r="C3" s="1" t="s">
        <v>2</v>
      </c>
      <c r="D3" s="1" t="s">
        <v>121</v>
      </c>
    </row>
    <row r="4" spans="1:4">
      <c r="A4">
        <v>1</v>
      </c>
      <c r="B4" t="s">
        <v>39</v>
      </c>
      <c r="C4" s="4">
        <v>880181.2</v>
      </c>
      <c r="D4" s="5">
        <v>16.335497984614534</v>
      </c>
    </row>
    <row r="5" spans="1:4">
      <c r="A5">
        <v>2</v>
      </c>
      <c r="B5" t="s">
        <v>42</v>
      </c>
      <c r="C5" s="4">
        <v>675059.3</v>
      </c>
      <c r="D5" s="5">
        <v>12.528590515958872</v>
      </c>
    </row>
    <row r="6" spans="1:4">
      <c r="A6">
        <v>3</v>
      </c>
      <c r="B6" t="s">
        <v>45</v>
      </c>
      <c r="C6" s="4">
        <v>650902.19999999995</v>
      </c>
      <c r="D6" s="5">
        <v>12.080252993680354</v>
      </c>
    </row>
    <row r="7" spans="1:4">
      <c r="A7">
        <v>4</v>
      </c>
      <c r="B7" t="s">
        <v>48</v>
      </c>
      <c r="C7" s="4">
        <v>563361.15</v>
      </c>
      <c r="D7" s="5">
        <v>10.455557253932628</v>
      </c>
    </row>
    <row r="8" spans="1:4">
      <c r="A8">
        <v>5</v>
      </c>
      <c r="B8" t="s">
        <v>51</v>
      </c>
      <c r="C8" s="4">
        <v>504779.5</v>
      </c>
      <c r="D8" s="5">
        <v>9.3683260957229404</v>
      </c>
    </row>
    <row r="9" spans="1:4">
      <c r="A9">
        <v>6</v>
      </c>
      <c r="B9" t="s">
        <v>53</v>
      </c>
      <c r="C9" s="4">
        <v>498348.05</v>
      </c>
      <c r="D9" s="5">
        <v>9.2489632434907527</v>
      </c>
    </row>
    <row r="10" spans="1:4">
      <c r="A10">
        <v>7</v>
      </c>
      <c r="B10" t="s">
        <v>55</v>
      </c>
      <c r="C10" s="4">
        <v>484010.35</v>
      </c>
      <c r="D10" s="5">
        <v>8.9828663654229093</v>
      </c>
    </row>
    <row r="11" spans="1:4">
      <c r="A11">
        <v>8</v>
      </c>
      <c r="B11" t="s">
        <v>56</v>
      </c>
      <c r="C11" s="4">
        <v>419679.9</v>
      </c>
      <c r="D11" s="5">
        <v>7.7889418231532659</v>
      </c>
    </row>
    <row r="12" spans="1:4">
      <c r="A12">
        <v>9</v>
      </c>
      <c r="B12" t="s">
        <v>59</v>
      </c>
      <c r="C12" s="4">
        <v>381479.15</v>
      </c>
      <c r="D12" s="5">
        <v>7.0799647686152181</v>
      </c>
    </row>
    <row r="13" spans="1:4">
      <c r="A13">
        <v>10</v>
      </c>
      <c r="B13" t="s">
        <v>60</v>
      </c>
      <c r="C13" s="4">
        <v>330349.59999999998</v>
      </c>
      <c r="D13" s="5">
        <v>6.1310389554085196</v>
      </c>
    </row>
  </sheetData>
  <mergeCells count="1">
    <mergeCell ref="A1:D1"/>
  </mergeCells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7"/>
  <sheetViews>
    <sheetView workbookViewId="0"/>
  </sheetViews>
  <sheetFormatPr defaultRowHeight="14"/>
  <cols>
    <col min="1" max="1" width="22" customWidth="1"/>
    <col min="2" max="2" width="18" customWidth="1"/>
    <col min="3" max="3" width="14" customWidth="1"/>
  </cols>
  <sheetData>
    <row r="1" spans="1:3" ht="20">
      <c r="A1" s="9" t="s">
        <v>125</v>
      </c>
      <c r="B1" s="10"/>
      <c r="C1" s="10"/>
    </row>
    <row r="3" spans="1:3">
      <c r="A3" s="1" t="s">
        <v>126</v>
      </c>
      <c r="B3" s="1" t="s">
        <v>2</v>
      </c>
      <c r="C3" s="1" t="s">
        <v>127</v>
      </c>
    </row>
    <row r="4" spans="1:3">
      <c r="A4" t="s">
        <v>41</v>
      </c>
      <c r="B4" s="4">
        <v>1815643.35</v>
      </c>
      <c r="C4" s="5">
        <v>33.696968629531945</v>
      </c>
    </row>
    <row r="5" spans="1:3">
      <c r="A5" t="s">
        <v>44</v>
      </c>
      <c r="B5" s="4">
        <v>1338621.3500000001</v>
      </c>
      <c r="C5" s="5">
        <v>24.843800759533362</v>
      </c>
    </row>
    <row r="6" spans="1:3">
      <c r="A6" t="s">
        <v>47</v>
      </c>
      <c r="B6" s="4">
        <v>1285955.05</v>
      </c>
      <c r="C6" s="5">
        <v>23.866354027534197</v>
      </c>
    </row>
    <row r="7" spans="1:3">
      <c r="A7" t="s">
        <v>50</v>
      </c>
      <c r="B7" s="4">
        <v>947930.65</v>
      </c>
      <c r="C7" s="5">
        <v>17.592876583400493</v>
      </c>
    </row>
  </sheetData>
  <mergeCells count="1">
    <mergeCell ref="A1:C1"/>
  </mergeCells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8"/>
  <sheetViews>
    <sheetView workbookViewId="0"/>
  </sheetViews>
  <sheetFormatPr defaultRowHeight="14"/>
  <cols>
    <col min="1" max="1" width="24" customWidth="1"/>
    <col min="2" max="3" width="14" customWidth="1"/>
  </cols>
  <sheetData>
    <row r="1" spans="1:3" ht="20">
      <c r="A1" s="9" t="s">
        <v>68</v>
      </c>
      <c r="B1" s="10"/>
      <c r="C1" s="10"/>
    </row>
    <row r="3" spans="1:3">
      <c r="A3" s="1" t="s">
        <v>61</v>
      </c>
      <c r="B3" s="1" t="s">
        <v>10</v>
      </c>
      <c r="C3" s="1" t="s">
        <v>127</v>
      </c>
    </row>
    <row r="4" spans="1:3">
      <c r="A4" t="s">
        <v>62</v>
      </c>
      <c r="B4">
        <v>9</v>
      </c>
      <c r="C4" s="5">
        <v>32.142857142857146</v>
      </c>
    </row>
    <row r="5" spans="1:3">
      <c r="A5" t="s">
        <v>63</v>
      </c>
      <c r="B5">
        <v>11</v>
      </c>
      <c r="C5" s="5">
        <v>39.285714285714285</v>
      </c>
    </row>
    <row r="6" spans="1:3">
      <c r="A6" t="s">
        <v>64</v>
      </c>
      <c r="B6">
        <v>4</v>
      </c>
      <c r="C6" s="5">
        <v>14.285714285714285</v>
      </c>
    </row>
    <row r="7" spans="1:3">
      <c r="A7" t="s">
        <v>65</v>
      </c>
      <c r="B7">
        <v>3</v>
      </c>
      <c r="C7" s="5">
        <v>10.714285714285714</v>
      </c>
    </row>
    <row r="8" spans="1:3">
      <c r="A8" t="s">
        <v>66</v>
      </c>
      <c r="B8">
        <v>1</v>
      </c>
      <c r="C8" s="5">
        <v>3.5714285714285712</v>
      </c>
    </row>
  </sheetData>
  <mergeCells count="1">
    <mergeCell ref="A1:C1"/>
  </mergeCells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1"/>
  <sheetViews>
    <sheetView workbookViewId="0"/>
  </sheetViews>
  <sheetFormatPr defaultRowHeight="14"/>
  <cols>
    <col min="1" max="1" width="24" customWidth="1"/>
    <col min="2" max="2" width="90" customWidth="1"/>
    <col min="3" max="3" width="18" customWidth="1"/>
    <col min="4" max="4" width="28" customWidth="1"/>
  </cols>
  <sheetData>
    <row r="1" spans="1:4" ht="20">
      <c r="A1" s="9" t="s">
        <v>128</v>
      </c>
      <c r="B1" s="10"/>
      <c r="C1" s="10"/>
      <c r="D1" s="10"/>
    </row>
    <row r="3" spans="1:4">
      <c r="A3" s="1" t="s">
        <v>129</v>
      </c>
      <c r="B3" s="1" t="s">
        <v>130</v>
      </c>
      <c r="C3" s="1" t="s">
        <v>111</v>
      </c>
      <c r="D3" s="1" t="s">
        <v>88</v>
      </c>
    </row>
    <row r="4" spans="1:4">
      <c r="A4" s="3" t="s">
        <v>7</v>
      </c>
      <c r="B4" s="3" t="s">
        <v>131</v>
      </c>
      <c r="C4" s="3" t="s">
        <v>112</v>
      </c>
      <c r="D4" s="3" t="s">
        <v>132</v>
      </c>
    </row>
    <row r="5" spans="1:4">
      <c r="A5" s="3" t="s">
        <v>8</v>
      </c>
      <c r="B5" s="3" t="s">
        <v>133</v>
      </c>
      <c r="C5" s="3" t="s">
        <v>112</v>
      </c>
      <c r="D5" s="3" t="s">
        <v>134</v>
      </c>
    </row>
    <row r="6" spans="1:4">
      <c r="A6" s="3" t="s">
        <v>9</v>
      </c>
      <c r="B6" s="3" t="s">
        <v>135</v>
      </c>
      <c r="C6" s="3" t="s">
        <v>136</v>
      </c>
      <c r="D6" s="3" t="s">
        <v>137</v>
      </c>
    </row>
    <row r="7" spans="1:4">
      <c r="A7" s="3" t="s">
        <v>114</v>
      </c>
      <c r="B7" s="3" t="s">
        <v>138</v>
      </c>
      <c r="C7" s="3" t="s">
        <v>136</v>
      </c>
      <c r="D7" s="3" t="s">
        <v>139</v>
      </c>
    </row>
    <row r="8" spans="1:4">
      <c r="A8" s="3" t="s">
        <v>115</v>
      </c>
      <c r="B8" s="3" t="s">
        <v>140</v>
      </c>
      <c r="C8" s="3" t="s">
        <v>136</v>
      </c>
      <c r="D8" s="3" t="s">
        <v>141</v>
      </c>
    </row>
    <row r="9" spans="1:4">
      <c r="A9" s="3" t="s">
        <v>116</v>
      </c>
      <c r="B9" s="3" t="s">
        <v>142</v>
      </c>
      <c r="C9" s="3" t="s">
        <v>112</v>
      </c>
      <c r="D9" s="3" t="s">
        <v>143</v>
      </c>
    </row>
    <row r="10" spans="1:4">
      <c r="A10" s="3" t="s">
        <v>12</v>
      </c>
      <c r="B10" s="3" t="s">
        <v>144</v>
      </c>
      <c r="C10" s="3" t="s">
        <v>117</v>
      </c>
      <c r="D10" s="3" t="s">
        <v>145</v>
      </c>
    </row>
    <row r="11" spans="1:4" ht="28">
      <c r="A11" s="3" t="s">
        <v>118</v>
      </c>
      <c r="B11" s="3" t="s">
        <v>146</v>
      </c>
      <c r="C11" s="3" t="s">
        <v>117</v>
      </c>
      <c r="D11" s="3" t="s">
        <v>147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2"/>
  <sheetViews>
    <sheetView workbookViewId="0"/>
  </sheetViews>
  <sheetFormatPr defaultRowHeight="14"/>
  <cols>
    <col min="1" max="1" width="10" customWidth="1"/>
    <col min="2" max="2" width="20" customWidth="1"/>
    <col min="3" max="3" width="48" customWidth="1"/>
    <col min="4" max="5" width="24" customWidth="1"/>
    <col min="6" max="6" width="40" customWidth="1"/>
  </cols>
  <sheetData>
    <row r="1" spans="1:6" ht="20">
      <c r="A1" s="9" t="s">
        <v>148</v>
      </c>
      <c r="B1" s="10"/>
      <c r="C1" s="10"/>
      <c r="D1" s="10"/>
      <c r="E1" s="10"/>
      <c r="F1" s="10"/>
    </row>
    <row r="3" spans="1:6">
      <c r="A3" s="1" t="s">
        <v>149</v>
      </c>
      <c r="B3" s="1" t="s">
        <v>150</v>
      </c>
      <c r="C3" s="1" t="s">
        <v>151</v>
      </c>
      <c r="D3" s="1" t="s">
        <v>152</v>
      </c>
      <c r="E3" s="1" t="s">
        <v>89</v>
      </c>
      <c r="F3" s="1" t="s">
        <v>153</v>
      </c>
    </row>
    <row r="4" spans="1:6" ht="28">
      <c r="A4" s="3" t="s">
        <v>154</v>
      </c>
      <c r="B4" s="3" t="s">
        <v>155</v>
      </c>
      <c r="C4" s="3" t="s">
        <v>156</v>
      </c>
      <c r="D4" s="3" t="s">
        <v>92</v>
      </c>
      <c r="E4" s="3" t="s">
        <v>157</v>
      </c>
      <c r="F4" s="3" t="s">
        <v>158</v>
      </c>
    </row>
    <row r="5" spans="1:6">
      <c r="A5" s="3" t="s">
        <v>159</v>
      </c>
      <c r="B5" s="3" t="s">
        <v>96</v>
      </c>
      <c r="C5" s="3" t="s">
        <v>160</v>
      </c>
      <c r="D5" s="3" t="s">
        <v>161</v>
      </c>
      <c r="E5" s="3" t="s">
        <v>162</v>
      </c>
      <c r="F5" s="3" t="s">
        <v>163</v>
      </c>
    </row>
    <row r="6" spans="1:6">
      <c r="A6" s="3" t="s">
        <v>164</v>
      </c>
      <c r="B6" s="3" t="s">
        <v>99</v>
      </c>
      <c r="C6" s="3" t="s">
        <v>165</v>
      </c>
      <c r="D6" s="3" t="s">
        <v>97</v>
      </c>
      <c r="E6" s="3" t="s">
        <v>100</v>
      </c>
      <c r="F6" s="3" t="s">
        <v>166</v>
      </c>
    </row>
    <row r="7" spans="1:6">
      <c r="A7" s="3" t="s">
        <v>167</v>
      </c>
      <c r="B7" s="3" t="s">
        <v>3</v>
      </c>
      <c r="C7" s="3" t="s">
        <v>168</v>
      </c>
      <c r="D7" s="3" t="s">
        <v>101</v>
      </c>
      <c r="E7" s="3" t="s">
        <v>103</v>
      </c>
      <c r="F7" s="3" t="s">
        <v>169</v>
      </c>
    </row>
    <row r="8" spans="1:6">
      <c r="A8" s="3" t="s">
        <v>170</v>
      </c>
      <c r="B8" s="3" t="s">
        <v>171</v>
      </c>
      <c r="C8" s="3" t="s">
        <v>172</v>
      </c>
      <c r="D8" s="3" t="s">
        <v>105</v>
      </c>
      <c r="E8" s="3" t="s">
        <v>107</v>
      </c>
      <c r="F8" s="3" t="s">
        <v>173</v>
      </c>
    </row>
    <row r="9" spans="1:6">
      <c r="A9" s="3" t="s">
        <v>174</v>
      </c>
      <c r="B9" s="3" t="s">
        <v>175</v>
      </c>
      <c r="C9" s="3" t="s">
        <v>176</v>
      </c>
      <c r="D9" s="3" t="s">
        <v>177</v>
      </c>
      <c r="E9" s="3" t="s">
        <v>178</v>
      </c>
      <c r="F9" s="3" t="s">
        <v>179</v>
      </c>
    </row>
    <row r="10" spans="1:6">
      <c r="A10" s="3" t="s">
        <v>180</v>
      </c>
      <c r="B10" s="3" t="s">
        <v>181</v>
      </c>
      <c r="C10" s="3" t="s">
        <v>182</v>
      </c>
      <c r="D10" s="3" t="s">
        <v>183</v>
      </c>
      <c r="E10" s="3" t="s">
        <v>184</v>
      </c>
      <c r="F10" s="3" t="s">
        <v>185</v>
      </c>
    </row>
    <row r="11" spans="1:6">
      <c r="A11" s="3" t="s">
        <v>186</v>
      </c>
      <c r="B11" s="3" t="s">
        <v>10</v>
      </c>
      <c r="C11" s="3" t="s">
        <v>187</v>
      </c>
      <c r="D11" s="3" t="s">
        <v>101</v>
      </c>
      <c r="E11" s="3" t="s">
        <v>188</v>
      </c>
      <c r="F11" s="3" t="s">
        <v>189</v>
      </c>
    </row>
    <row r="12" spans="1:6">
      <c r="A12" t="s">
        <v>190</v>
      </c>
      <c r="B12" t="s">
        <v>191</v>
      </c>
      <c r="C12" t="s">
        <v>192</v>
      </c>
      <c r="D12" t="s">
        <v>87</v>
      </c>
      <c r="E12" t="s">
        <v>193</v>
      </c>
      <c r="F12" t="s">
        <v>194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Dashboard</vt:lpstr>
      <vt:lpstr>KPIs</vt:lpstr>
      <vt:lpstr>Monthly_Sales</vt:lpstr>
      <vt:lpstr>Category_Analysis</vt:lpstr>
      <vt:lpstr>State_Analysis</vt:lpstr>
      <vt:lpstr>Product_Analysis</vt:lpstr>
      <vt:lpstr>Payment_Mode</vt:lpstr>
      <vt:lpstr>Customer_Segmentation</vt:lpstr>
      <vt:lpstr>DAX_Measures</vt:lpstr>
      <vt:lpstr>PowerBI_ReadMe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Grandim Balaji</cp:lastModifiedBy>
  <dcterms:modified xsi:type="dcterms:W3CDTF">2026-09-05T15:50:08Z</dcterms:modified>
</cp:coreProperties>
</file>